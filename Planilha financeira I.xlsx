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ocuments\Curso DIO Excel\"/>
    </mc:Choice>
  </mc:AlternateContent>
  <xr:revisionPtr revIDLastSave="0" documentId="13_ncr:1_{30407EE9-5682-4409-A1C2-7E997DCCF86B}" xr6:coauthVersionLast="43" xr6:coauthVersionMax="43" xr10:uidLastSave="{00000000-0000-0000-0000-000000000000}"/>
  <bookViews>
    <workbookView xWindow="28692" yWindow="-108" windowWidth="20712" windowHeight="11016" tabRatio="677" firstSheet="2" activeTab="2" xr2:uid="{3914ED01-A362-43C8-8866-0B126C5B20B0}"/>
  </bookViews>
  <sheets>
    <sheet name="Gráfico2" sheetId="4" r:id="rId1"/>
    <sheet name="Gráfico1" sheetId="3" r:id="rId2"/>
    <sheet name="APP" sheetId="1" r:id="rId3"/>
    <sheet name="Dados" sheetId="2" r:id="rId4"/>
    <sheet name="Planilha3" sheetId="5" r:id="rId5"/>
  </sheets>
  <definedNames>
    <definedName name="aporte">APP!$D$16</definedName>
    <definedName name="patrimonio">APP!$D$19</definedName>
    <definedName name="qtd_anos">APP!$D$17</definedName>
    <definedName name="rendimento_carteira">APP!$D$12</definedName>
    <definedName name="salario">APP!$D$11</definedName>
    <definedName name="sugestao_investimento">APP!$D$13</definedName>
    <definedName name="taxa_mensal">APP!$D$18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31" i="1" l="1"/>
  <c r="C36" i="1"/>
  <c r="C37" i="1"/>
  <c r="C38" i="1"/>
  <c r="C39" i="1"/>
  <c r="C40" i="1"/>
  <c r="C35" i="1"/>
  <c r="I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19" i="1"/>
  <c r="D20" i="1" s="1"/>
  <c r="D13" i="1"/>
  <c r="D36" i="1" l="1"/>
  <c r="D39" i="1"/>
  <c r="D38" i="1"/>
  <c r="D37" i="1"/>
  <c r="D35" i="1"/>
  <c r="D40" i="1"/>
  <c r="C41" i="1"/>
  <c r="C24" i="1"/>
  <c r="D24" i="1" s="1"/>
  <c r="C25" i="1"/>
  <c r="D25" i="1" s="1"/>
  <c r="C26" i="1"/>
  <c r="D26" i="1" s="1"/>
  <c r="C27" i="1"/>
  <c r="D27" i="1" s="1"/>
  <c r="C23" i="1"/>
  <c r="D23" i="1" s="1"/>
  <c r="D41" i="1" l="1"/>
</calcChain>
</file>

<file path=xl/sharedStrings.xml><?xml version="1.0" encoding="utf-8"?>
<sst xmlns="http://schemas.openxmlformats.org/spreadsheetml/2006/main" count="71" uniqueCount="35">
  <si>
    <t>* quanto investir por mês?</t>
  </si>
  <si>
    <t>* taxa de rendimento mensal?</t>
  </si>
  <si>
    <t>* quanto de patrimonio terei acumulado?</t>
  </si>
  <si>
    <t>* quanto de dividendos mensais?</t>
  </si>
  <si>
    <t>Investimento Mensal</t>
  </si>
  <si>
    <t>* por quantos anos investir?</t>
  </si>
  <si>
    <t>Quanto em 2 anos?</t>
  </si>
  <si>
    <t>Quanto em 5 anos?</t>
  </si>
  <si>
    <t>Quanto em 10 anos?</t>
  </si>
  <si>
    <t>Quanto em 20 anos?</t>
  </si>
  <si>
    <t>Quantos em 30 anos</t>
  </si>
  <si>
    <t>Cenários</t>
  </si>
  <si>
    <t>Dividendo</t>
  </si>
  <si>
    <t>Configurações</t>
  </si>
  <si>
    <t>Rendimento Carteira</t>
  </si>
  <si>
    <t>Salário</t>
  </si>
  <si>
    <t>Sugestão Investimento</t>
  </si>
  <si>
    <t>Perfil</t>
  </si>
  <si>
    <t>Agressivo</t>
  </si>
  <si>
    <t>Conservador</t>
  </si>
  <si>
    <t>Moderado</t>
  </si>
  <si>
    <t>Valor a ser investido por mês</t>
  </si>
  <si>
    <t>Tipo de FII</t>
  </si>
  <si>
    <t>Percentual</t>
  </si>
  <si>
    <t>Valores</t>
  </si>
  <si>
    <t>Papel</t>
  </si>
  <si>
    <t>Tijolo</t>
  </si>
  <si>
    <t>Hibrídos</t>
  </si>
  <si>
    <t>FOF's</t>
  </si>
  <si>
    <t>Desenvolvimento</t>
  </si>
  <si>
    <t>Hotelarias</t>
  </si>
  <si>
    <t>tipo de fii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</si>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</sst>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20"/>
      <color theme="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6" tint="0.59996337778862885"/>
      </right>
      <top style="medium">
        <color indexed="64"/>
      </top>
      <bottom style="medium">
        <color theme="6" tint="0.59996337778862885"/>
      </bottom>
      <diagonal/>
    </border>
    <border>
      <left style="medium">
        <color theme="6" tint="0.59996337778862885"/>
      </left>
      <right style="medium">
        <color indexed="64"/>
      </right>
      <top style="medium">
        <color indexed="64"/>
      </top>
      <bottom style="medium">
        <color theme="6" tint="0.59996337778862885"/>
      </bottom>
      <diagonal/>
    </border>
    <border>
      <left style="medium">
        <color indexed="64"/>
      </left>
      <right style="medium">
        <color theme="6" tint="0.59996337778862885"/>
      </right>
      <top style="medium">
        <color theme="6" tint="0.59996337778862885"/>
      </top>
      <bottom style="medium">
        <color theme="6" tint="0.59996337778862885"/>
      </bottom>
      <diagonal/>
    </border>
    <border>
      <left style="medium">
        <color theme="6" tint="0.59996337778862885"/>
      </left>
      <right style="medium">
        <color indexed="64"/>
      </right>
      <top style="medium">
        <color theme="6" tint="0.59996337778862885"/>
      </top>
      <bottom style="medium">
        <color theme="6" tint="0.59996337778862885"/>
      </bottom>
      <diagonal/>
    </border>
    <border>
      <left style="medium">
        <color indexed="64"/>
      </left>
      <right style="medium">
        <color theme="6" tint="0.59996337778862885"/>
      </right>
      <top style="medium">
        <color theme="6" tint="0.59996337778862885"/>
      </top>
      <bottom style="medium">
        <color indexed="64"/>
      </bottom>
      <diagonal/>
    </border>
    <border>
      <left style="medium">
        <color theme="6" tint="0.59996337778862885"/>
      </left>
      <right style="medium">
        <color indexed="64"/>
      </right>
      <top style="medium">
        <color theme="6" tint="0.59996337778862885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theme="6" tint="0.59996337778862885"/>
      </left>
      <right style="medium">
        <color theme="6" tint="0.59996337778862885"/>
      </right>
      <top/>
      <bottom style="medium">
        <color theme="6" tint="0.59996337778862885"/>
      </bottom>
      <diagonal/>
    </border>
    <border>
      <left style="medium">
        <color theme="6" tint="0.59996337778862885"/>
      </left>
      <right style="medium">
        <color theme="6" tint="0.59996337778862885"/>
      </right>
      <top style="medium">
        <color theme="6" tint="0.59996337778862885"/>
      </top>
      <bottom style="medium">
        <color theme="6" tint="0.59996337778862885"/>
      </bottom>
      <diagonal/>
    </border>
    <border>
      <left style="medium">
        <color indexed="64"/>
      </left>
      <right style="medium">
        <color theme="6" tint="0.59996337778862885"/>
      </right>
      <top/>
      <bottom style="medium">
        <color theme="6" tint="0.59996337778862885"/>
      </bottom>
      <diagonal/>
    </border>
    <border>
      <left style="medium">
        <color theme="6" tint="0.59996337778862885"/>
      </left>
      <right style="medium">
        <color indexed="64"/>
      </right>
      <top/>
      <bottom style="medium">
        <color theme="6" tint="0.59996337778862885"/>
      </bottom>
      <diagonal/>
    </border>
    <border>
      <left style="medium">
        <color theme="6" tint="0.59996337778862885"/>
      </left>
      <right style="medium">
        <color theme="6" tint="0.59996337778862885"/>
      </right>
      <top style="medium">
        <color theme="6" tint="0.59996337778862885"/>
      </top>
      <bottom style="medium">
        <color indexed="64"/>
      </bottom>
      <diagonal/>
    </border>
    <border>
      <left style="medium">
        <color theme="6" tint="0.59996337778862885"/>
      </left>
      <right style="medium">
        <color theme="6" tint="0.59996337778862885"/>
      </right>
      <top style="medium">
        <color indexed="64"/>
      </top>
      <bottom style="medium">
        <color theme="6" tint="0.59996337778862885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59">
    <xf numFmtId="0" fontId="0" fillId="0" borderId="0" xfId="0"/>
    <xf numFmtId="0" fontId="2" fillId="0" borderId="6" xfId="0" applyFont="1" applyBorder="1" applyAlignment="1">
      <alignment horizontal="center"/>
    </xf>
    <xf numFmtId="10" fontId="2" fillId="0" borderId="6" xfId="1" applyNumberFormat="1" applyFont="1" applyBorder="1" applyAlignment="1">
      <alignment horizontal="center"/>
    </xf>
    <xf numFmtId="8" fontId="2" fillId="4" borderId="6" xfId="0" applyNumberFormat="1" applyFont="1" applyFill="1" applyBorder="1" applyAlignment="1">
      <alignment horizontal="center"/>
    </xf>
    <xf numFmtId="8" fontId="2" fillId="4" borderId="8" xfId="0" applyNumberFormat="1" applyFont="1" applyFill="1" applyBorder="1" applyAlignment="1">
      <alignment horizontal="center"/>
    </xf>
    <xf numFmtId="0" fontId="3" fillId="0" borderId="0" xfId="0" applyFont="1"/>
    <xf numFmtId="8" fontId="0" fillId="3" borderId="12" xfId="0" applyNumberFormat="1" applyFill="1" applyBorder="1"/>
    <xf numFmtId="8" fontId="0" fillId="3" borderId="14" xfId="0" applyNumberFormat="1" applyFill="1" applyBorder="1"/>
    <xf numFmtId="8" fontId="0" fillId="3" borderId="17" xfId="0" applyNumberFormat="1" applyFill="1" applyBorder="1"/>
    <xf numFmtId="9" fontId="0" fillId="0" borderId="0" xfId="1" applyFont="1"/>
    <xf numFmtId="0" fontId="0" fillId="0" borderId="0" xfId="0" applyBorder="1"/>
    <xf numFmtId="0" fontId="5" fillId="0" borderId="0" xfId="0" applyFont="1"/>
    <xf numFmtId="0" fontId="0" fillId="0" borderId="0" xfId="0" applyAlignment="1">
      <alignment horizontal="center"/>
    </xf>
    <xf numFmtId="164" fontId="2" fillId="0" borderId="22" xfId="0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left" indent="3"/>
    </xf>
    <xf numFmtId="0" fontId="7" fillId="3" borderId="13" xfId="0" applyFont="1" applyFill="1" applyBorder="1" applyAlignment="1">
      <alignment horizontal="left" indent="3"/>
    </xf>
    <xf numFmtId="0" fontId="7" fillId="3" borderId="15" xfId="0" applyFont="1" applyFill="1" applyBorder="1" applyAlignment="1">
      <alignment horizontal="left" indent="3"/>
    </xf>
    <xf numFmtId="0" fontId="5" fillId="0" borderId="21" xfId="0" applyFont="1" applyBorder="1" applyAlignment="1">
      <alignment horizontal="left" indent="3"/>
    </xf>
    <xf numFmtId="0" fontId="5" fillId="0" borderId="19" xfId="0" applyFont="1" applyBorder="1" applyAlignment="1">
      <alignment horizontal="left" indent="3"/>
    </xf>
    <xf numFmtId="0" fontId="5" fillId="0" borderId="5" xfId="0" applyFont="1" applyBorder="1" applyAlignment="1">
      <alignment horizontal="left" indent="3"/>
    </xf>
    <xf numFmtId="0" fontId="5" fillId="0" borderId="20" xfId="0" applyFont="1" applyBorder="1" applyAlignment="1">
      <alignment horizontal="left" indent="3"/>
    </xf>
    <xf numFmtId="0" fontId="6" fillId="4" borderId="5" xfId="0" applyFont="1" applyFill="1" applyBorder="1" applyAlignment="1">
      <alignment horizontal="left" indent="3"/>
    </xf>
    <xf numFmtId="0" fontId="6" fillId="4" borderId="20" xfId="0" applyFont="1" applyFill="1" applyBorder="1" applyAlignment="1">
      <alignment horizontal="left" indent="3"/>
    </xf>
    <xf numFmtId="0" fontId="6" fillId="4" borderId="7" xfId="0" applyFont="1" applyFill="1" applyBorder="1" applyAlignment="1">
      <alignment horizontal="left" indent="3"/>
    </xf>
    <xf numFmtId="0" fontId="6" fillId="4" borderId="23" xfId="0" applyFont="1" applyFill="1" applyBorder="1" applyAlignment="1">
      <alignment horizontal="left" indent="3"/>
    </xf>
    <xf numFmtId="0" fontId="5" fillId="9" borderId="5" xfId="0" applyFont="1" applyFill="1" applyBorder="1" applyAlignment="1">
      <alignment horizontal="left" indent="3"/>
    </xf>
    <xf numFmtId="0" fontId="5" fillId="9" borderId="20" xfId="0" applyFont="1" applyFill="1" applyBorder="1" applyAlignment="1">
      <alignment horizontal="left" indent="3"/>
    </xf>
    <xf numFmtId="0" fontId="5" fillId="9" borderId="7" xfId="0" applyFont="1" applyFill="1" applyBorder="1" applyAlignment="1">
      <alignment horizontal="left" indent="3"/>
    </xf>
    <xf numFmtId="0" fontId="5" fillId="9" borderId="23" xfId="0" applyFont="1" applyFill="1" applyBorder="1" applyAlignment="1">
      <alignment horizontal="left" indent="3"/>
    </xf>
    <xf numFmtId="0" fontId="8" fillId="2" borderId="1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8" fontId="0" fillId="3" borderId="9" xfId="0" applyNumberFormat="1" applyFill="1" applyBorder="1" applyAlignment="1">
      <alignment horizontal="center"/>
    </xf>
    <xf numFmtId="8" fontId="0" fillId="3" borderId="10" xfId="0" applyNumberFormat="1" applyFill="1" applyBorder="1" applyAlignment="1">
      <alignment horizontal="center"/>
    </xf>
    <xf numFmtId="8" fontId="0" fillId="3" borderId="16" xfId="0" applyNumberFormat="1" applyFill="1" applyBorder="1" applyAlignment="1">
      <alignment horizontal="center"/>
    </xf>
    <xf numFmtId="164" fontId="0" fillId="9" borderId="8" xfId="0" applyNumberFormat="1" applyFill="1" applyBorder="1" applyAlignment="1">
      <alignment horizontal="center"/>
    </xf>
    <xf numFmtId="0" fontId="1" fillId="8" borderId="0" xfId="5"/>
    <xf numFmtId="0" fontId="1" fillId="6" borderId="0" xfId="3"/>
    <xf numFmtId="0" fontId="1" fillId="8" borderId="0" xfId="5" applyAlignment="1">
      <alignment horizontal="center"/>
    </xf>
    <xf numFmtId="164" fontId="1" fillId="6" borderId="0" xfId="2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4" borderId="0" xfId="0" applyFill="1"/>
    <xf numFmtId="164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9" fontId="2" fillId="4" borderId="0" xfId="0" applyNumberFormat="1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0" borderId="25" xfId="0" applyBorder="1"/>
    <xf numFmtId="0" fontId="0" fillId="0" borderId="25" xfId="0" applyBorder="1" applyAlignment="1">
      <alignment horizontal="center"/>
    </xf>
    <xf numFmtId="9" fontId="0" fillId="0" borderId="25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1" fillId="7" borderId="0" xfId="4"/>
    <xf numFmtId="9" fontId="0" fillId="0" borderId="0" xfId="1" applyFont="1" applyAlignment="1">
      <alignment horizontal="center"/>
    </xf>
    <xf numFmtId="0" fontId="3" fillId="10" borderId="0" xfId="0" applyFont="1" applyFill="1" applyAlignment="1">
      <alignment horizontal="center"/>
    </xf>
  </cellXfs>
  <cellStyles count="6">
    <cellStyle name="20% - Ênfase4" xfId="4" builtinId="42"/>
    <cellStyle name="40% - Ênfase3" xfId="3" builtinId="39"/>
    <cellStyle name="60% - Ênfase4" xfId="5" builtinId="44"/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APP!$B$31</c:f>
              <c:strCache>
                <c:ptCount val="1"/>
                <c:pt idx="0">
                  <c:v>Valor a ser investido por mês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APP!$C$30</c:f>
              <c:strCache>
                <c:ptCount val="1"/>
                <c:pt idx="0">
                  <c:v>Conservador</c:v>
                </c:pt>
              </c:strCache>
            </c:strRef>
          </c:cat>
          <c:val>
            <c:numRef>
              <c:f>APP!$C$31</c:f>
              <c:numCache>
                <c:formatCode>"R$"\ #,##0.00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4-4D42-B4EC-602FC7F13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706176"/>
        <c:axId val="1324652528"/>
      </c:barChart>
      <c:catAx>
        <c:axId val="132170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4652528"/>
        <c:crosses val="autoZero"/>
        <c:auto val="1"/>
        <c:lblAlgn val="ctr"/>
        <c:lblOffset val="100"/>
        <c:noMultiLvlLbl val="0"/>
      </c:catAx>
      <c:valAx>
        <c:axId val="132465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170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APP!$B$31</c:f>
              <c:strCache>
                <c:ptCount val="1"/>
                <c:pt idx="0">
                  <c:v>Valor a ser investido por mês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APP!$C$30</c:f>
              <c:strCache>
                <c:ptCount val="1"/>
                <c:pt idx="0">
                  <c:v>Conservador</c:v>
                </c:pt>
              </c:strCache>
            </c:strRef>
          </c:cat>
          <c:val>
            <c:numRef>
              <c:f>APP!$C$31</c:f>
              <c:numCache>
                <c:formatCode>"R$"\ #,##0.00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E-475B-8F46-BC807B228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0915536"/>
        <c:axId val="1646702128"/>
      </c:barChart>
      <c:catAx>
        <c:axId val="15509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6702128"/>
        <c:crosses val="autoZero"/>
        <c:auto val="1"/>
        <c:lblAlgn val="ctr"/>
        <c:lblOffset val="100"/>
        <c:noMultiLvlLbl val="0"/>
      </c:catAx>
      <c:valAx>
        <c:axId val="164670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091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Hibrídos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APP!$C$35:$C$40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9-44E7-86AD-023FB6226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E8DA6E-57BE-4A48-810B-D99DE7D1BC09}">
  <sheetPr/>
  <sheetViews>
    <sheetView zoomScale="78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BA21F0D-5016-42BB-93FA-0577FC7B9B80}">
  <sheetPr/>
  <sheetViews>
    <sheetView zoomScale="78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007231" cy="62230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3FA034-67FC-418A-A43B-1D260907BFE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007231" cy="62230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96439B-3A59-46EF-9279-6A92BAE89B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68580</xdr:colOff>
      <xdr:row>0</xdr:row>
      <xdr:rowOff>129540</xdr:rowOff>
    </xdr:from>
    <xdr:to>
      <xdr:col>3</xdr:col>
      <xdr:colOff>966072</xdr:colOff>
      <xdr:row>7</xdr:row>
      <xdr:rowOff>45720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EE0C575-27B9-45F8-8987-D9327958EA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78" t="28278" r="5719" b="30668"/>
        <a:stretch/>
      </xdr:blipFill>
      <xdr:spPr>
        <a:xfrm>
          <a:off x="426720" y="129540"/>
          <a:ext cx="5987652" cy="1196340"/>
        </a:xfrm>
        <a:prstGeom prst="rect">
          <a:avLst/>
        </a:prstGeom>
      </xdr:spPr>
    </xdr:pic>
    <xdr:clientData/>
  </xdr:twoCellAnchor>
  <xdr:twoCellAnchor>
    <xdr:from>
      <xdr:col>1</xdr:col>
      <xdr:colOff>605790</xdr:colOff>
      <xdr:row>42</xdr:row>
      <xdr:rowOff>76200</xdr:rowOff>
    </xdr:from>
    <xdr:to>
      <xdr:col>3</xdr:col>
      <xdr:colOff>87630</xdr:colOff>
      <xdr:row>57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2B0680-A71B-44FE-BC7D-5257143BC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47B4-E787-4FE7-8F3C-F982C9A01B38}">
  <dimension ref="A9:XFD41"/>
  <sheetViews>
    <sheetView showGridLines="0" tabSelected="1" workbookViewId="0">
      <selection activeCell="B38" sqref="B38"/>
    </sheetView>
  </sheetViews>
  <sheetFormatPr defaultColWidth="0" defaultRowHeight="14.4" x14ac:dyDescent="0.3"/>
  <cols>
    <col min="1" max="1" width="5.21875" customWidth="1"/>
    <col min="2" max="2" width="41.6640625" customWidth="1"/>
    <col min="3" max="3" width="32.5546875" customWidth="1"/>
    <col min="4" max="4" width="15.6640625" customWidth="1"/>
    <col min="5" max="5" width="3.6640625" customWidth="1"/>
    <col min="6" max="6" width="10.5546875" hidden="1" customWidth="1"/>
    <col min="7" max="11" width="8.88671875" hidden="1" customWidth="1"/>
    <col min="12" max="16382" width="8.88671875" hidden="1"/>
    <col min="16383" max="16383" width="6.33203125" hidden="1" customWidth="1"/>
    <col min="16384" max="16384" width="9.88671875" hidden="1" customWidth="1"/>
  </cols>
  <sheetData>
    <row r="9" spans="2:4" ht="15" thickBot="1" x14ac:dyDescent="0.35"/>
    <row r="10" spans="2:4" ht="30" thickBot="1" x14ac:dyDescent="0.35">
      <c r="B10" s="35" t="s">
        <v>13</v>
      </c>
      <c r="C10" s="36"/>
      <c r="D10" s="37"/>
    </row>
    <row r="11" spans="2:4" s="10" customFormat="1" ht="16.2" thickBot="1" x14ac:dyDescent="0.35">
      <c r="B11" s="28" t="s">
        <v>15</v>
      </c>
      <c r="C11" s="29"/>
      <c r="D11" s="14">
        <v>2000</v>
      </c>
    </row>
    <row r="12" spans="2:4" ht="16.2" thickBot="1" x14ac:dyDescent="0.35">
      <c r="B12" s="28" t="s">
        <v>14</v>
      </c>
      <c r="C12" s="29"/>
      <c r="D12" s="15">
        <v>6.0000000000000001E-3</v>
      </c>
    </row>
    <row r="13" spans="2:4" ht="16.2" thickBot="1" x14ac:dyDescent="0.35">
      <c r="B13" s="30" t="s">
        <v>16</v>
      </c>
      <c r="C13" s="31"/>
      <c r="D13" s="41">
        <f>D11*30%</f>
        <v>600</v>
      </c>
    </row>
    <row r="14" spans="2:4" ht="15" thickBot="1" x14ac:dyDescent="0.35"/>
    <row r="15" spans="2:4" ht="26.4" customHeight="1" x14ac:dyDescent="0.3">
      <c r="B15" s="32" t="s">
        <v>4</v>
      </c>
      <c r="C15" s="33"/>
      <c r="D15" s="34"/>
    </row>
    <row r="16" spans="2:4" ht="16.2" thickBot="1" x14ac:dyDescent="0.35">
      <c r="B16" s="20" t="s">
        <v>0</v>
      </c>
      <c r="C16" s="21"/>
      <c r="D16" s="13">
        <v>200</v>
      </c>
    </row>
    <row r="17" spans="1:7" ht="16.2" thickBot="1" x14ac:dyDescent="0.35">
      <c r="B17" s="22" t="s">
        <v>5</v>
      </c>
      <c r="C17" s="23"/>
      <c r="D17" s="1">
        <v>5</v>
      </c>
      <c r="E17" s="11"/>
    </row>
    <row r="18" spans="1:7" ht="16.2" thickBot="1" x14ac:dyDescent="0.35">
      <c r="B18" s="22" t="s">
        <v>1</v>
      </c>
      <c r="C18" s="23"/>
      <c r="D18" s="2">
        <v>1.0789999999999999E-2</v>
      </c>
    </row>
    <row r="19" spans="1:7" ht="16.2" thickBot="1" x14ac:dyDescent="0.35">
      <c r="B19" s="24" t="s">
        <v>2</v>
      </c>
      <c r="C19" s="25"/>
      <c r="D19" s="3">
        <f>FV(taxa_mensal,qtd_anos*12,aporte*-1)</f>
        <v>16755.382799697527</v>
      </c>
    </row>
    <row r="20" spans="1:7" ht="16.2" thickBot="1" x14ac:dyDescent="0.35">
      <c r="B20" s="26" t="s">
        <v>3</v>
      </c>
      <c r="C20" s="27"/>
      <c r="D20" s="4">
        <f>patrimonio*rendimento_carteira</f>
        <v>100.53229679818516</v>
      </c>
    </row>
    <row r="21" spans="1:7" ht="15" thickBot="1" x14ac:dyDescent="0.35">
      <c r="G21" s="9"/>
    </row>
    <row r="22" spans="1:7" ht="29.4" x14ac:dyDescent="0.3">
      <c r="B22" s="32" t="s">
        <v>11</v>
      </c>
      <c r="C22" s="33"/>
      <c r="D22" s="16" t="s">
        <v>12</v>
      </c>
    </row>
    <row r="23" spans="1:7" ht="16.2" thickBot="1" x14ac:dyDescent="0.35">
      <c r="A23" s="5">
        <v>2</v>
      </c>
      <c r="B23" s="17" t="s">
        <v>6</v>
      </c>
      <c r="C23" s="38">
        <f>FV($D$18,$A23*12,$D$16*-1)</f>
        <v>5445.5254595290435</v>
      </c>
      <c r="D23" s="6">
        <f>C23*rendimento_carteira</f>
        <v>32.673152757174265</v>
      </c>
    </row>
    <row r="24" spans="1:7" ht="16.2" thickBot="1" x14ac:dyDescent="0.35">
      <c r="A24" s="5">
        <v>5</v>
      </c>
      <c r="B24" s="18" t="s">
        <v>7</v>
      </c>
      <c r="C24" s="39">
        <f>FV($D$18,$A24*12,$D$16*-1)</f>
        <v>16755.382799697527</v>
      </c>
      <c r="D24" s="7">
        <f>C24*rendimento_carteira</f>
        <v>100.53229679818516</v>
      </c>
    </row>
    <row r="25" spans="1:7" ht="16.2" thickBot="1" x14ac:dyDescent="0.35">
      <c r="A25" s="5">
        <v>10</v>
      </c>
      <c r="B25" s="18" t="s">
        <v>8</v>
      </c>
      <c r="C25" s="39">
        <f>FV($D$18,$A25*12,$D$16*-1)</f>
        <v>48656.842506034438</v>
      </c>
      <c r="D25" s="7">
        <f>C25*rendimento_carteira</f>
        <v>291.94105503620665</v>
      </c>
    </row>
    <row r="26" spans="1:7" ht="16.2" thickBot="1" x14ac:dyDescent="0.35">
      <c r="A26" s="5">
        <v>20</v>
      </c>
      <c r="B26" s="18" t="s">
        <v>9</v>
      </c>
      <c r="C26" s="39">
        <f>FV($D$18,$A26*12,$D$16*-1)</f>
        <v>225039.68001941612</v>
      </c>
      <c r="D26" s="7">
        <f>C26*rendimento_carteira</f>
        <v>1350.2380801164968</v>
      </c>
    </row>
    <row r="27" spans="1:7" ht="16.2" thickBot="1" x14ac:dyDescent="0.35">
      <c r="A27" s="5">
        <v>30</v>
      </c>
      <c r="B27" s="19" t="s">
        <v>10</v>
      </c>
      <c r="C27" s="40">
        <f>FV($D$18,$A27*12,$D$16*-1)</f>
        <v>864433.93100094295</v>
      </c>
      <c r="D27" s="8">
        <f>C27*rendimento_carteira</f>
        <v>5186.6035860056581</v>
      </c>
    </row>
    <row r="30" spans="1:7" x14ac:dyDescent="0.3">
      <c r="B30" s="42" t="s">
        <v>17</v>
      </c>
      <c r="C30" s="44" t="s">
        <v>19</v>
      </c>
    </row>
    <row r="31" spans="1:7" x14ac:dyDescent="0.3">
      <c r="B31" s="43" t="s">
        <v>21</v>
      </c>
      <c r="C31" s="45">
        <f>aporte</f>
        <v>200</v>
      </c>
    </row>
    <row r="34" spans="2:4" x14ac:dyDescent="0.3">
      <c r="B34" s="49" t="s">
        <v>22</v>
      </c>
      <c r="C34" s="49" t="s">
        <v>23</v>
      </c>
      <c r="D34" s="49" t="s">
        <v>24</v>
      </c>
    </row>
    <row r="35" spans="2:4" x14ac:dyDescent="0.3">
      <c r="B35" s="12" t="s">
        <v>25</v>
      </c>
      <c r="C35" s="46">
        <f>VLOOKUP($C$30&amp;"-"&amp;B35,Dados!A:D,4,FALSE)</f>
        <v>0.3</v>
      </c>
      <c r="D35" s="51">
        <f>$C$31*C35</f>
        <v>60</v>
      </c>
    </row>
    <row r="36" spans="2:4" x14ac:dyDescent="0.3">
      <c r="B36" s="12" t="s">
        <v>26</v>
      </c>
      <c r="C36" s="46">
        <f>VLOOKUP($C$30&amp;"-"&amp;B36,Dados!A:D,4,FALSE)</f>
        <v>0.5</v>
      </c>
      <c r="D36" s="51">
        <f t="shared" ref="D36:D40" si="0">$C$31*C36</f>
        <v>100</v>
      </c>
    </row>
    <row r="37" spans="2:4" x14ac:dyDescent="0.3">
      <c r="B37" s="12" t="s">
        <v>27</v>
      </c>
      <c r="C37" s="46">
        <f>VLOOKUP($C$30&amp;"-"&amp;B37,Dados!A:D,4,FALSE)</f>
        <v>0.1</v>
      </c>
      <c r="D37" s="51">
        <f t="shared" si="0"/>
        <v>20</v>
      </c>
    </row>
    <row r="38" spans="2:4" x14ac:dyDescent="0.3">
      <c r="B38" s="12" t="s">
        <v>28</v>
      </c>
      <c r="C38" s="46">
        <f>VLOOKUP($C$30&amp;"-"&amp;B38,Dados!A:D,4,FALSE)</f>
        <v>0.1</v>
      </c>
      <c r="D38" s="51">
        <f t="shared" si="0"/>
        <v>20</v>
      </c>
    </row>
    <row r="39" spans="2:4" x14ac:dyDescent="0.3">
      <c r="B39" s="12" t="s">
        <v>29</v>
      </c>
      <c r="C39" s="46">
        <f>VLOOKUP($C$30&amp;"-"&amp;B39,Dados!A:D,4,FALSE)</f>
        <v>0</v>
      </c>
      <c r="D39" s="51">
        <f t="shared" si="0"/>
        <v>0</v>
      </c>
    </row>
    <row r="40" spans="2:4" x14ac:dyDescent="0.3">
      <c r="B40" s="12" t="s">
        <v>30</v>
      </c>
      <c r="C40" s="46">
        <f>VLOOKUP($C$30&amp;"-"&amp;B40,Dados!A:D,4,FALSE)</f>
        <v>0</v>
      </c>
      <c r="D40" s="51">
        <f t="shared" si="0"/>
        <v>0</v>
      </c>
    </row>
    <row r="41" spans="2:4" x14ac:dyDescent="0.3">
      <c r="B41" s="47"/>
      <c r="C41" s="50">
        <f>SUM(C35:C40)</f>
        <v>1</v>
      </c>
      <c r="D41" s="48">
        <f>SUM(D35:D40)</f>
        <v>200</v>
      </c>
    </row>
  </sheetData>
  <mergeCells count="11">
    <mergeCell ref="B10:D10"/>
    <mergeCell ref="B13:C13"/>
    <mergeCell ref="B12:C12"/>
    <mergeCell ref="B11:C11"/>
    <mergeCell ref="B15:D15"/>
    <mergeCell ref="B22:C22"/>
    <mergeCell ref="B20:C20"/>
    <mergeCell ref="B19:C19"/>
    <mergeCell ref="B18:C18"/>
    <mergeCell ref="B17:C17"/>
    <mergeCell ref="B16:C16"/>
  </mergeCells>
  <dataValidations count="1">
    <dataValidation type="list" allowBlank="1" showInputMessage="1" showErrorMessage="1" sqref="C30" xr:uid="{193E1227-56AE-40BB-8347-556EDA8FD572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D9BA-9471-4D8C-AEC2-F9ECB95DA29A}">
  <dimension ref="A2:I20"/>
  <sheetViews>
    <sheetView workbookViewId="0">
      <selection activeCell="A2" sqref="A2:D2"/>
    </sheetView>
  </sheetViews>
  <sheetFormatPr defaultRowHeight="14.4" x14ac:dyDescent="0.3"/>
  <cols>
    <col min="1" max="1" width="26.5546875" bestFit="1" customWidth="1"/>
    <col min="2" max="2" width="11.33203125" bestFit="1" customWidth="1"/>
    <col min="3" max="3" width="15.21875" bestFit="1" customWidth="1"/>
    <col min="8" max="8" width="14.88671875" bestFit="1" customWidth="1"/>
    <col min="9" max="9" width="9.5546875" bestFit="1" customWidth="1"/>
  </cols>
  <sheetData>
    <row r="2" spans="1:9" x14ac:dyDescent="0.3">
      <c r="A2" s="58" t="s">
        <v>33</v>
      </c>
      <c r="B2" s="58" t="s">
        <v>17</v>
      </c>
      <c r="C2" s="58" t="s">
        <v>31</v>
      </c>
      <c r="D2" s="58" t="s">
        <v>32</v>
      </c>
    </row>
    <row r="3" spans="1:9" x14ac:dyDescent="0.3">
      <c r="A3" t="str">
        <f>B3&amp;"-"&amp;C3</f>
        <v>Conservador-Papel</v>
      </c>
      <c r="B3" t="s">
        <v>19</v>
      </c>
      <c r="C3" s="12" t="s">
        <v>25</v>
      </c>
      <c r="D3" s="46">
        <v>0.3</v>
      </c>
      <c r="I3" s="12" t="s">
        <v>32</v>
      </c>
    </row>
    <row r="4" spans="1:9" x14ac:dyDescent="0.3">
      <c r="A4" t="str">
        <f t="shared" ref="A4:A20" si="0">B4&amp;"-"&amp;C4</f>
        <v>Conservador-Tijolo</v>
      </c>
      <c r="B4" t="s">
        <v>19</v>
      </c>
      <c r="C4" s="12" t="s">
        <v>26</v>
      </c>
      <c r="D4" s="46">
        <v>0.5</v>
      </c>
      <c r="H4" s="56" t="s">
        <v>34</v>
      </c>
      <c r="I4" s="57">
        <f>VLOOKUP(H4,$A:$D,4,FALSE)</f>
        <v>0.4</v>
      </c>
    </row>
    <row r="5" spans="1:9" x14ac:dyDescent="0.3">
      <c r="A5" t="str">
        <f t="shared" si="0"/>
        <v>Conservador-Hibrídos</v>
      </c>
      <c r="B5" t="s">
        <v>19</v>
      </c>
      <c r="C5" s="12" t="s">
        <v>27</v>
      </c>
      <c r="D5" s="46">
        <v>0.1</v>
      </c>
    </row>
    <row r="6" spans="1:9" x14ac:dyDescent="0.3">
      <c r="A6" t="str">
        <f t="shared" si="0"/>
        <v>Conservador-FOF's</v>
      </c>
      <c r="B6" t="s">
        <v>19</v>
      </c>
      <c r="C6" s="12" t="s">
        <v>28</v>
      </c>
      <c r="D6" s="46">
        <v>0.1</v>
      </c>
    </row>
    <row r="7" spans="1:9" x14ac:dyDescent="0.3">
      <c r="A7" t="str">
        <f t="shared" si="0"/>
        <v>Conservador-Desenvolvimento</v>
      </c>
      <c r="B7" t="s">
        <v>19</v>
      </c>
      <c r="C7" s="12" t="s">
        <v>29</v>
      </c>
      <c r="D7" s="46">
        <v>0</v>
      </c>
    </row>
    <row r="8" spans="1:9" ht="15" thickBot="1" x14ac:dyDescent="0.35">
      <c r="A8" s="52" t="str">
        <f t="shared" si="0"/>
        <v>Conservador-Hotelarias</v>
      </c>
      <c r="B8" s="52" t="s">
        <v>19</v>
      </c>
      <c r="C8" s="53" t="s">
        <v>30</v>
      </c>
      <c r="D8" s="54">
        <v>0</v>
      </c>
    </row>
    <row r="9" spans="1:9" x14ac:dyDescent="0.3">
      <c r="A9" t="str">
        <f t="shared" si="0"/>
        <v>Moderado-Papel</v>
      </c>
      <c r="B9" t="s">
        <v>20</v>
      </c>
      <c r="C9" s="12" t="s">
        <v>25</v>
      </c>
      <c r="D9" s="55">
        <v>0.32</v>
      </c>
    </row>
    <row r="10" spans="1:9" x14ac:dyDescent="0.3">
      <c r="A10" t="str">
        <f t="shared" si="0"/>
        <v>Moderado-Tijolo</v>
      </c>
      <c r="B10" t="s">
        <v>20</v>
      </c>
      <c r="C10" s="12" t="s">
        <v>26</v>
      </c>
      <c r="D10" s="55">
        <v>0.4</v>
      </c>
    </row>
    <row r="11" spans="1:9" x14ac:dyDescent="0.3">
      <c r="A11" t="str">
        <f t="shared" si="0"/>
        <v>Moderado-Hibrídos</v>
      </c>
      <c r="B11" t="s">
        <v>20</v>
      </c>
      <c r="C11" s="12" t="s">
        <v>27</v>
      </c>
      <c r="D11" s="55">
        <v>0.08</v>
      </c>
    </row>
    <row r="12" spans="1:9" x14ac:dyDescent="0.3">
      <c r="A12" t="str">
        <f t="shared" si="0"/>
        <v>Moderado-FOF's</v>
      </c>
      <c r="B12" t="s">
        <v>20</v>
      </c>
      <c r="C12" s="12" t="s">
        <v>28</v>
      </c>
      <c r="D12" s="55">
        <v>0.1</v>
      </c>
    </row>
    <row r="13" spans="1:9" x14ac:dyDescent="0.3">
      <c r="A13" t="str">
        <f t="shared" si="0"/>
        <v>Moderado-Desenvolvimento</v>
      </c>
      <c r="B13" t="s">
        <v>20</v>
      </c>
      <c r="C13" s="12" t="s">
        <v>29</v>
      </c>
      <c r="D13" s="55">
        <v>0.1</v>
      </c>
    </row>
    <row r="14" spans="1:9" ht="15" thickBot="1" x14ac:dyDescent="0.35">
      <c r="A14" s="52" t="str">
        <f t="shared" si="0"/>
        <v>Moderado-Hotelarias</v>
      </c>
      <c r="B14" s="52" t="s">
        <v>20</v>
      </c>
      <c r="C14" s="53" t="s">
        <v>30</v>
      </c>
      <c r="D14" s="54">
        <v>0</v>
      </c>
    </row>
    <row r="15" spans="1:9" x14ac:dyDescent="0.3">
      <c r="A15" t="str">
        <f t="shared" si="0"/>
        <v>Agressivo-Papel</v>
      </c>
      <c r="B15" t="s">
        <v>18</v>
      </c>
      <c r="C15" s="12" t="s">
        <v>25</v>
      </c>
      <c r="D15" s="46">
        <v>0.5</v>
      </c>
    </row>
    <row r="16" spans="1:9" x14ac:dyDescent="0.3">
      <c r="A16" t="str">
        <f t="shared" si="0"/>
        <v>Agressivo-Tijolo</v>
      </c>
      <c r="B16" t="s">
        <v>18</v>
      </c>
      <c r="C16" s="12" t="s">
        <v>26</v>
      </c>
      <c r="D16" s="46">
        <v>0.1</v>
      </c>
    </row>
    <row r="17" spans="1:4" x14ac:dyDescent="0.3">
      <c r="A17" t="str">
        <f t="shared" si="0"/>
        <v>Agressivo-Hibrídos</v>
      </c>
      <c r="B17" t="s">
        <v>18</v>
      </c>
      <c r="C17" s="12" t="s">
        <v>27</v>
      </c>
      <c r="D17" s="46">
        <v>0.05</v>
      </c>
    </row>
    <row r="18" spans="1:4" x14ac:dyDescent="0.3">
      <c r="A18" t="str">
        <f t="shared" si="0"/>
        <v>Agressivo-FOF's</v>
      </c>
      <c r="B18" t="s">
        <v>18</v>
      </c>
      <c r="C18" s="12" t="s">
        <v>28</v>
      </c>
      <c r="D18" s="46">
        <v>0.05</v>
      </c>
    </row>
    <row r="19" spans="1:4" x14ac:dyDescent="0.3">
      <c r="A19" t="str">
        <f t="shared" si="0"/>
        <v>Agressivo-Desenvolvimento</v>
      </c>
      <c r="B19" t="s">
        <v>18</v>
      </c>
      <c r="C19" s="12" t="s">
        <v>29</v>
      </c>
      <c r="D19" s="46">
        <v>0.2</v>
      </c>
    </row>
    <row r="20" spans="1:4" x14ac:dyDescent="0.3">
      <c r="A20" t="str">
        <f t="shared" si="0"/>
        <v>Agressivo-Hotelarias</v>
      </c>
      <c r="B20" t="s">
        <v>18</v>
      </c>
      <c r="C20" s="12" t="s">
        <v>30</v>
      </c>
      <c r="D20" s="46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270A-CB59-4279-943A-E142628657AF}">
  <dimension ref="A1"/>
  <sheetViews>
    <sheetView workbookViewId="0">
      <selection activeCell="G15" sqref="G15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3</vt:i4>
      </vt:variant>
      <vt:variant>
        <vt:lpstr>Gráficos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12" baseType="lpstr">
      <vt:lpstr>APP</vt:lpstr>
      <vt:lpstr>Dados</vt:lpstr>
      <vt:lpstr>Planilha3</vt:lpstr>
      <vt:lpstr>Gráfico2</vt:lpstr>
      <vt:lpstr>Gráfico1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2026-02-12T12:56:30Z</dcterms:created>
  <dcterms:modified xsi:type="dcterms:W3CDTF">2026-02-12T19:51:09Z</dcterms:modified>
</cp:coreProperties>
</file>